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hysical science\4th year\Internship\Task 9\Send-Offer-Rejection\Process-Automation-Opportunities-Analysis\offer_rejection_automation\"/>
    </mc:Choice>
  </mc:AlternateContent>
  <bookViews>
    <workbookView xWindow="0" yWindow="0" windowWidth="20490" windowHeight="6750"/>
  </bookViews>
  <sheets>
    <sheet name="Candidates" sheetId="1" r:id="rId1"/>
    <sheet name="Summary" sheetId="2" r:id="rId2"/>
  </sheets>
  <calcPr calcId="152511"/>
</workbook>
</file>

<file path=xl/calcChain.xml><?xml version="1.0" encoding="utf-8"?>
<calcChain xmlns="http://schemas.openxmlformats.org/spreadsheetml/2006/main">
  <c r="B7" i="2" l="1"/>
  <c r="B6" i="2"/>
  <c r="B5" i="2"/>
  <c r="B4" i="2"/>
</calcChain>
</file>

<file path=xl/sharedStrings.xml><?xml version="1.0" encoding="utf-8"?>
<sst xmlns="http://schemas.openxmlformats.org/spreadsheetml/2006/main" count="72" uniqueCount="51">
  <si>
    <t>Candidate_ID</t>
  </si>
  <si>
    <t>Name</t>
  </si>
  <si>
    <t>Email</t>
  </si>
  <si>
    <t>Position</t>
  </si>
  <si>
    <t>Status</t>
  </si>
  <si>
    <t>Email_Sent</t>
  </si>
  <si>
    <t>001</t>
  </si>
  <si>
    <t>Amal Perera</t>
  </si>
  <si>
    <t>Data Analyst</t>
  </si>
  <si>
    <t>Offer</t>
  </si>
  <si>
    <t>No</t>
  </si>
  <si>
    <t>002</t>
  </si>
  <si>
    <t>Nimal Silva</t>
  </si>
  <si>
    <t>HR Executive</t>
  </si>
  <si>
    <t>Rejected</t>
  </si>
  <si>
    <t>003</t>
  </si>
  <si>
    <t>Kamali Fernando</t>
  </si>
  <si>
    <t>004</t>
  </si>
  <si>
    <t>Ruwan Jayasinghe</t>
  </si>
  <si>
    <t>IT Manager</t>
  </si>
  <si>
    <t>005</t>
  </si>
  <si>
    <t>Dilani Wickrama</t>
  </si>
  <si>
    <t>Recruitment Specialist</t>
  </si>
  <si>
    <t>006</t>
  </si>
  <si>
    <t>Saman Kumara</t>
  </si>
  <si>
    <t>Software Engineer</t>
  </si>
  <si>
    <t>007</t>
  </si>
  <si>
    <t>Priya Rajan</t>
  </si>
  <si>
    <t>Business Analyst</t>
  </si>
  <si>
    <t>008</t>
  </si>
  <si>
    <t>Thilak Bandara</t>
  </si>
  <si>
    <t>009</t>
  </si>
  <si>
    <t>Nadeesha Gunawardena</t>
  </si>
  <si>
    <t>Data Scientist</t>
  </si>
  <si>
    <t>010</t>
  </si>
  <si>
    <t>Kasun Rajapaksa</t>
  </si>
  <si>
    <t>Recruitment Email Summary</t>
  </si>
  <si>
    <t>Total Candidates</t>
  </si>
  <si>
    <t>Emails Sent</t>
  </si>
  <si>
    <t>Emails Pending</t>
  </si>
  <si>
    <t>Pending</t>
  </si>
  <si>
    <t>am1239al.perera@gmail.com</t>
  </si>
  <si>
    <t>nim7890al.silva@gmail.com</t>
  </si>
  <si>
    <t>kamali.fern8734ando@gmail.com</t>
  </si>
  <si>
    <t>r9845uwan.j@gmail.com</t>
  </si>
  <si>
    <t>dil4357ani.w@gmail.com</t>
  </si>
  <si>
    <t>sa0476man.kumara@gmail.com</t>
  </si>
  <si>
    <t>pri0935ya.rajan@gmail.com</t>
  </si>
  <si>
    <t>thi8945lak.b@gmail.com</t>
  </si>
  <si>
    <t>nadee98277sha.g@gmail.com</t>
  </si>
  <si>
    <t>kas12333un.r@gmail.com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</si>
</sst>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1E7B34"/>
      <name val="Arial"/>
    </font>
    <font>
      <b/>
      <sz val="10"/>
      <color rgb="FFC00000"/>
      <name val="Arial"/>
    </font>
    <font>
      <b/>
      <sz val="14"/>
      <color rgb="FF1F4E79"/>
      <name val="Arial"/>
    </font>
    <font>
      <b/>
      <sz val="11"/>
      <name val="Arial"/>
    </font>
    <font>
      <sz val="11"/>
      <name val="Arial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EBF3FB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0" xfId="0" applyFont="1"/>
    <xf numFmtId="0" fontId="6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8" fillId="3" borderId="1" xfId="1" applyFill="1" applyBorder="1" applyAlignment="1">
      <alignment horizontal="center" vertical="center"/>
    </xf>
    <xf numFmtId="0" fontId="8" fillId="4" borderId="1" xfId="1" applyFill="1" applyBorder="1" applyAlignment="1">
      <alignment horizontal="center" vertical="center"/>
    </xf>
    <xf numFmtId="0" fontId="8" fillId="4" borderId="8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F11" totalsRowShown="0" headerRowDxfId="0" dataDxfId="1" headerRowBorderDxfId="8" tableBorderDxfId="9" totalsRowBorderDxfId="7">
  <autoFilter ref="A1:F11"/>
  <tableColumns count="6">
    <tableColumn id="1" name="Candidate_ID" dataDxfId="6"/>
    <tableColumn id="2" name="Name" dataDxfId="5"/>
    <tableColumn id="3" name="Email" dataDxfId="4"/>
    <tableColumn id="4" name="Position" dataDxfId="3"/>
    <tableColumn id="5" name="Status"/>
    <tableColumn id="6" name="Email_Sent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hi8945lak.b@gmail.com" TargetMode="External"/><Relationship Id="rId3" Type="http://schemas.openxmlformats.org/officeDocument/2006/relationships/hyperlink" Target="mailto:kamali.fern8734ando@gmail.com" TargetMode="External"/><Relationship Id="rId7" Type="http://schemas.openxmlformats.org/officeDocument/2006/relationships/hyperlink" Target="mailto:pri0935ya.rajan@gmail.com" TargetMode="External"/><Relationship Id="rId2" Type="http://schemas.openxmlformats.org/officeDocument/2006/relationships/hyperlink" Target="mailto:nim7890al.silva@gmail.com" TargetMode="External"/><Relationship Id="rId1" Type="http://schemas.openxmlformats.org/officeDocument/2006/relationships/hyperlink" Target="mailto:am1239al.perera@gmail.com" TargetMode="External"/><Relationship Id="rId6" Type="http://schemas.openxmlformats.org/officeDocument/2006/relationships/hyperlink" Target="mailto:sa0476man.kumara@gmail.com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dil4357ani.w@gmail.com" TargetMode="External"/><Relationship Id="rId10" Type="http://schemas.openxmlformats.org/officeDocument/2006/relationships/hyperlink" Target="mailto:kas12333un.r@gmail.com" TargetMode="External"/><Relationship Id="rId4" Type="http://schemas.openxmlformats.org/officeDocument/2006/relationships/hyperlink" Target="mailto:r9845uwan.j@gmail.com" TargetMode="External"/><Relationship Id="rId9" Type="http://schemas.openxmlformats.org/officeDocument/2006/relationships/hyperlink" Target="mailto:nadee98277sha.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abSelected="1" workbookViewId="0">
      <pane ySplit="1" topLeftCell="A2" activePane="bottomLeft" state="frozen"/>
      <selection pane="bottomLeft" activeCell="F11" sqref="F11"/>
    </sheetView>
  </sheetViews>
  <sheetFormatPr defaultRowHeight="15" x14ac:dyDescent="0.25"/>
  <cols>
    <col min="1" max="1" width="16.7109375" customWidth="1"/>
    <col min="2" max="2" width="25" customWidth="1"/>
    <col min="3" max="3" width="35" customWidth="1"/>
    <col min="4" max="4" width="28" customWidth="1"/>
    <col min="5" max="5" width="12" customWidth="1"/>
    <col min="6" max="6" width="14.42578125" customWidth="1"/>
  </cols>
  <sheetData>
    <row r="1" spans="1:6" ht="21.95" customHeight="1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5</v>
      </c>
    </row>
    <row r="2" spans="1:6" x14ac:dyDescent="0.25">
      <c r="A2" s="8" t="s">
        <v>6</v>
      </c>
      <c r="B2" s="1" t="s">
        <v>7</v>
      </c>
      <c r="C2" s="19" t="s">
        <v>41</v>
      </c>
      <c r="D2" s="1" t="s">
        <v>8</v>
      </c>
      <c r="E2" s="2" t="s">
        <v>9</v>
      </c>
      <c r="F2" s="10" t="s">
        <v>10</v>
      </c>
    </row>
    <row r="3" spans="1:6" x14ac:dyDescent="0.25">
      <c r="A3" s="9" t="s">
        <v>11</v>
      </c>
      <c r="B3" s="3" t="s">
        <v>12</v>
      </c>
      <c r="C3" s="20" t="s">
        <v>42</v>
      </c>
      <c r="D3" s="3" t="s">
        <v>13</v>
      </c>
      <c r="E3" s="4" t="s">
        <v>14</v>
      </c>
      <c r="F3" s="11" t="s">
        <v>10</v>
      </c>
    </row>
    <row r="4" spans="1:6" x14ac:dyDescent="0.25">
      <c r="A4" s="8" t="s">
        <v>15</v>
      </c>
      <c r="B4" s="1" t="s">
        <v>16</v>
      </c>
      <c r="C4" s="19" t="s">
        <v>43</v>
      </c>
      <c r="D4" s="1" t="s">
        <v>8</v>
      </c>
      <c r="E4" s="2" t="s">
        <v>9</v>
      </c>
      <c r="F4" s="10" t="s">
        <v>10</v>
      </c>
    </row>
    <row r="5" spans="1:6" x14ac:dyDescent="0.25">
      <c r="A5" s="9" t="s">
        <v>17</v>
      </c>
      <c r="B5" s="3" t="s">
        <v>18</v>
      </c>
      <c r="C5" s="20" t="s">
        <v>44</v>
      </c>
      <c r="D5" s="3" t="s">
        <v>19</v>
      </c>
      <c r="E5" s="4" t="s">
        <v>14</v>
      </c>
      <c r="F5" s="11" t="s">
        <v>10</v>
      </c>
    </row>
    <row r="6" spans="1:6" x14ac:dyDescent="0.25">
      <c r="A6" s="8" t="s">
        <v>20</v>
      </c>
      <c r="B6" s="1" t="s">
        <v>21</v>
      </c>
      <c r="C6" s="19" t="s">
        <v>45</v>
      </c>
      <c r="D6" s="1" t="s">
        <v>22</v>
      </c>
      <c r="E6" s="2" t="s">
        <v>9</v>
      </c>
      <c r="F6" s="10" t="s">
        <v>10</v>
      </c>
    </row>
    <row r="7" spans="1:6" x14ac:dyDescent="0.25">
      <c r="A7" s="9" t="s">
        <v>23</v>
      </c>
      <c r="B7" s="3" t="s">
        <v>24</v>
      </c>
      <c r="C7" s="20" t="s">
        <v>46</v>
      </c>
      <c r="D7" s="3" t="s">
        <v>25</v>
      </c>
      <c r="E7" s="4" t="s">
        <v>14</v>
      </c>
      <c r="F7" s="11" t="s">
        <v>10</v>
      </c>
    </row>
    <row r="8" spans="1:6" x14ac:dyDescent="0.25">
      <c r="A8" s="8" t="s">
        <v>26</v>
      </c>
      <c r="B8" s="1" t="s">
        <v>27</v>
      </c>
      <c r="C8" s="19" t="s">
        <v>47</v>
      </c>
      <c r="D8" s="1" t="s">
        <v>28</v>
      </c>
      <c r="E8" s="2" t="s">
        <v>9</v>
      </c>
      <c r="F8" s="10" t="s">
        <v>10</v>
      </c>
    </row>
    <row r="9" spans="1:6" x14ac:dyDescent="0.25">
      <c r="A9" s="9" t="s">
        <v>29</v>
      </c>
      <c r="B9" s="3" t="s">
        <v>30</v>
      </c>
      <c r="C9" s="20" t="s">
        <v>48</v>
      </c>
      <c r="D9" s="3" t="s">
        <v>13</v>
      </c>
      <c r="E9" s="4" t="s">
        <v>14</v>
      </c>
      <c r="F9" s="11" t="s">
        <v>10</v>
      </c>
    </row>
    <row r="10" spans="1:6" x14ac:dyDescent="0.25">
      <c r="A10" s="8" t="s">
        <v>31</v>
      </c>
      <c r="B10" s="1" t="s">
        <v>32</v>
      </c>
      <c r="C10" s="19" t="s">
        <v>49</v>
      </c>
      <c r="D10" s="1" t="s">
        <v>33</v>
      </c>
      <c r="E10" s="2" t="s">
        <v>9</v>
      </c>
      <c r="F10" s="10" t="s">
        <v>10</v>
      </c>
    </row>
    <row r="11" spans="1:6" x14ac:dyDescent="0.25">
      <c r="A11" s="15" t="s">
        <v>34</v>
      </c>
      <c r="B11" s="16" t="s">
        <v>35</v>
      </c>
      <c r="C11" s="21" t="s">
        <v>50</v>
      </c>
      <c r="D11" s="16" t="s">
        <v>19</v>
      </c>
      <c r="E11" s="17" t="s">
        <v>40</v>
      </c>
      <c r="F11" s="18" t="s">
        <v>10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5" right="0.75" top="1" bottom="1" header="0.5" footer="0.5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x14ac:dyDescent="0.25"/>
  <cols>
    <col min="1" max="1" width="22" customWidth="1"/>
    <col min="2" max="2" width="15" customWidth="1"/>
  </cols>
  <sheetData>
    <row r="1" spans="1:2" ht="18" x14ac:dyDescent="0.25">
      <c r="A1" s="5" t="s">
        <v>36</v>
      </c>
    </row>
    <row r="3" spans="1:2" x14ac:dyDescent="0.25">
      <c r="A3" s="6" t="s">
        <v>37</v>
      </c>
      <c r="B3" s="7">
        <v>30</v>
      </c>
    </row>
    <row r="4" spans="1:2" x14ac:dyDescent="0.25">
      <c r="A4" s="6" t="s">
        <v>9</v>
      </c>
      <c r="B4" s="7">
        <f>COUNTIF(Candidates!E2:E11,"Offer")</f>
        <v>5</v>
      </c>
    </row>
    <row r="5" spans="1:2" x14ac:dyDescent="0.25">
      <c r="A5" s="6" t="s">
        <v>14</v>
      </c>
      <c r="B5" s="7">
        <f>COUNTIF(Candidates!E2:E11,"Rejected")</f>
        <v>4</v>
      </c>
    </row>
    <row r="6" spans="1:2" x14ac:dyDescent="0.25">
      <c r="A6" s="6" t="s">
        <v>38</v>
      </c>
      <c r="B6" s="7">
        <f>COUNTIF(Candidates!F2:F11,"Yes")</f>
        <v>0</v>
      </c>
    </row>
    <row r="7" spans="1:2" x14ac:dyDescent="0.25">
      <c r="A7" s="6" t="s">
        <v>39</v>
      </c>
      <c r="B7" s="7">
        <f>COUNTIF(Candidates!F2:F11,"No")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Summary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2026-02-19T09:20:28Z</dcterms:created>
  <dcterms:modified xsi:type="dcterms:W3CDTF">2026-02-20T06:09:04Z</dcterms:modified>
</cp:coreProperties>
</file>